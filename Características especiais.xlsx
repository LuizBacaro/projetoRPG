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Documentos\RPG\Plataforma RPG\"/>
    </mc:Choice>
  </mc:AlternateContent>
  <xr:revisionPtr revIDLastSave="0" documentId="13_ncr:1_{8F3F0F01-CE75-42AC-A57B-03DD1B958063}" xr6:coauthVersionLast="47" xr6:coauthVersionMax="47" xr10:uidLastSave="{00000000-0000-0000-0000-000000000000}"/>
  <bookViews>
    <workbookView xWindow="-108" yWindow="-108" windowWidth="23256" windowHeight="12456" xr2:uid="{94644232-34B1-449A-B2DC-CBC0C0EE85D1}"/>
  </bookViews>
  <sheets>
    <sheet name="Habilidades e Talentos" sheetId="2" r:id="rId1"/>
    <sheet name="Raças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5" i="2" l="1"/>
  <c r="E6" i="2"/>
  <c r="E7" i="2"/>
  <c r="E8" i="2"/>
  <c r="E9" i="2"/>
  <c r="E10" i="2"/>
  <c r="E11" i="2"/>
  <c r="E12" i="2"/>
  <c r="E13" i="2"/>
  <c r="E14" i="2"/>
  <c r="E15" i="2"/>
  <c r="E16" i="2"/>
  <c r="E17" i="2"/>
  <c r="E18" i="2"/>
  <c r="E19" i="2"/>
  <c r="E20" i="2"/>
  <c r="E21" i="2"/>
  <c r="E22" i="2"/>
  <c r="E23" i="2"/>
  <c r="E4" i="2"/>
</calcChain>
</file>

<file path=xl/sharedStrings.xml><?xml version="1.0" encoding="utf-8"?>
<sst xmlns="http://schemas.openxmlformats.org/spreadsheetml/2006/main" count="148" uniqueCount="95">
  <si>
    <t>Humanos</t>
  </si>
  <si>
    <t>Raça</t>
  </si>
  <si>
    <t>Idiomas iniciais</t>
  </si>
  <si>
    <t>Comum</t>
  </si>
  <si>
    <t>Tamanho</t>
  </si>
  <si>
    <t>Médio</t>
  </si>
  <si>
    <t>Deslocamento</t>
  </si>
  <si>
    <t>9 metros</t>
  </si>
  <si>
    <t>Habilidades especiais</t>
  </si>
  <si>
    <t>Classe favorecida</t>
  </si>
  <si>
    <t>Qualquer uma</t>
  </si>
  <si>
    <t>Modificadores de habilidades</t>
  </si>
  <si>
    <t>-</t>
  </si>
  <si>
    <t>Anões</t>
  </si>
  <si>
    <t>Comum; Anão</t>
  </si>
  <si>
    <t>+2 CONSTITUIÇÃO; -2 CARISMA</t>
  </si>
  <si>
    <t>6 metros</t>
  </si>
  <si>
    <t>Talentos especiais</t>
  </si>
  <si>
    <t>- 1 talento adicional a escolha</t>
  </si>
  <si>
    <t>- 4 pontos de perícia no 1º nível
- 1 ponto de perícia a cada nível subsequente</t>
  </si>
  <si>
    <t>- Usar arma exótica (machado de guerra anão)
- Usar arma exótica (urgrosh)</t>
  </si>
  <si>
    <t>Guerreiro</t>
  </si>
  <si>
    <t>Elfos</t>
  </si>
  <si>
    <t>+2 DESTREZA; -2 CONSTITUIÇÃO</t>
  </si>
  <si>
    <t>Comum; Élfico</t>
  </si>
  <si>
    <t>- Usar arma comum (espada longa)
- Usar arma comum (sabre)
- Usar arma comum (arco longo)
- Usar arma comum (arco curto)</t>
  </si>
  <si>
    <t>Mago</t>
  </si>
  <si>
    <t>Gnomos</t>
  </si>
  <si>
    <t>+2 CONSTITUIÇÃO; -2 FORÇA</t>
  </si>
  <si>
    <t>Pequeno</t>
  </si>
  <si>
    <t>- +1 CA contra criaturas médias ou maiores</t>
  </si>
  <si>
    <t>Comum; Gnomo</t>
  </si>
  <si>
    <t>- Usar arma exótica (martelo gnomo com gancho)</t>
  </si>
  <si>
    <t>Bardo</t>
  </si>
  <si>
    <t>Meio-elfos</t>
  </si>
  <si>
    <t>Meio-orcs</t>
  </si>
  <si>
    <t>+2 FORÇA, -2 INTELIGÊNCIA; -2 CARISMA</t>
  </si>
  <si>
    <t>- Visão no escuro</t>
  </si>
  <si>
    <t>- Visão no escuro
- Sangue orc</t>
  </si>
  <si>
    <t>Comum; Orc</t>
  </si>
  <si>
    <t>Bárbaro</t>
  </si>
  <si>
    <t>Halfling</t>
  </si>
  <si>
    <t>Ladino</t>
  </si>
  <si>
    <t>+2 DESTREZA; -2 FORÇA</t>
  </si>
  <si>
    <t>Comum; Halfling</t>
  </si>
  <si>
    <t>- +2 avaliação (pedras ou metais)
- +2 ofícios (pedras ou metais)</t>
  </si>
  <si>
    <t>- +2 ouvir
- +2 procurar
- +2 observar</t>
  </si>
  <si>
    <t>- +4 esconder-se
- +2 ouvir
- +2 ofícios (alquimia)</t>
  </si>
  <si>
    <t>Resistências</t>
  </si>
  <si>
    <t>- Visão na penumbra
- Não precisa dormir, apenas ficar em transe por 4 horas
- Rolagem passiva de procurar portas secretas há 1,5m de distância</t>
  </si>
  <si>
    <t>- Imunidade a magias de sono
- +2 resistência a encantamentos</t>
  </si>
  <si>
    <t>- +2 contra ilusões</t>
  </si>
  <si>
    <t>- +1 ataque contra orcs e goblinóides</t>
  </si>
  <si>
    <t>- +4 para resistir a encontrão
- +2 resistência a venenos
- +2 resistência a magias e efeitos similares a magia
- +2 procurar (pedras e alvenaria)</t>
  </si>
  <si>
    <t>- +4 CA contra gigantes</t>
  </si>
  <si>
    <t>- +1 ataque contra criaturas médias ou maiores
- +1 ataque contra kobolds e goblinóides</t>
  </si>
  <si>
    <t>- Visão na penumbra
- +1 na CA para resistir a uma ilusão feita pelo personagem
- Falar com animais (1/dia - mamíferos terrestres - 1 minuto)
- Se Carisma tiver Carisma &gt; 10, ganha 1/dia:
  - Globo de luz
  - Som fantasma
  - Prestidigitação</t>
  </si>
  <si>
    <t>- +1 CA contra criaturas médias ou maiores
- +4 CA contra gigantes</t>
  </si>
  <si>
    <t>- Visão na penumbra
- Sangue élfico</t>
  </si>
  <si>
    <t>- +1 ouvir
- +1 procurar
- +1 observar
- +2 diplomacia
- +2 obter informações</t>
  </si>
  <si>
    <t>- +4 esconder-se
- +2 escalar
- +2 saltar
- +2 furtividade
- +2 ouvir</t>
  </si>
  <si>
    <t>- +1 ataque contra criaturas médias ou maiores
- +1 ataque com armas de arremesso e fundas</t>
  </si>
  <si>
    <t>Modificadores de ataque</t>
  </si>
  <si>
    <t>Modificadores de defesa</t>
  </si>
  <si>
    <t>Modificadores de perícia</t>
  </si>
  <si>
    <t>- +1 resistência fortitude (saving throw)
- +1 resistência reflexos  (saving throw)
- +1 resistência vontade  (saving throw)
- +2 resistência contra medo</t>
  </si>
  <si>
    <t>Nível de personagem</t>
  </si>
  <si>
    <t>1º</t>
  </si>
  <si>
    <t>2º</t>
  </si>
  <si>
    <t>3º</t>
  </si>
  <si>
    <t>4º</t>
  </si>
  <si>
    <t>5º</t>
  </si>
  <si>
    <t>6º</t>
  </si>
  <si>
    <t>7º</t>
  </si>
  <si>
    <t>8º</t>
  </si>
  <si>
    <t>9º</t>
  </si>
  <si>
    <t>10º</t>
  </si>
  <si>
    <t>11º</t>
  </si>
  <si>
    <t>12º</t>
  </si>
  <si>
    <t>13º</t>
  </si>
  <si>
    <t>14º</t>
  </si>
  <si>
    <t>15º</t>
  </si>
  <si>
    <t>16º</t>
  </si>
  <si>
    <t>17º</t>
  </si>
  <si>
    <t>18º</t>
  </si>
  <si>
    <t>19º</t>
  </si>
  <si>
    <t>20º</t>
  </si>
  <si>
    <t>Graduação máxima de perícia da classe</t>
  </si>
  <si>
    <t>Graduação máxima de perícia de outras classes</t>
  </si>
  <si>
    <t>SIM</t>
  </si>
  <si>
    <t>Talento por nível</t>
  </si>
  <si>
    <t>Aumento de habilidade (atributo)</t>
  </si>
  <si>
    <t>XP necessário</t>
  </si>
  <si>
    <t>BENEFÍCIOS E EXPERIÊNCIA POR NÍVEL DE PERSONAGEM</t>
  </si>
  <si>
    <t>CARACTERÍSTICA E BENEFÍCIOS POR RAÇA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</si>
</sst>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42">
    <xf numFmtId="0" fontId="0" fillId="0" borderId="0" xfId="0"/>
    <xf numFmtId="0" fontId="0" fillId="0" borderId="0" xfId="0" applyAlignment="1">
      <alignment vertical="center"/>
    </xf>
    <xf numFmtId="0" fontId="0" fillId="0" borderId="1" xfId="0" applyBorder="1" applyAlignment="1">
      <alignment vertical="center"/>
    </xf>
    <xf numFmtId="0" fontId="0" fillId="0" borderId="1" xfId="0" quotePrefix="1" applyBorder="1" applyAlignment="1">
      <alignment vertical="center"/>
    </xf>
    <xf numFmtId="0" fontId="0" fillId="0" borderId="1" xfId="0" quotePrefix="1" applyBorder="1" applyAlignment="1">
      <alignment vertical="center" wrapText="1"/>
    </xf>
    <xf numFmtId="0" fontId="0" fillId="0" borderId="5" xfId="0" applyBorder="1" applyAlignment="1">
      <alignment vertical="center"/>
    </xf>
    <xf numFmtId="0" fontId="0" fillId="0" borderId="6" xfId="0" applyBorder="1" applyAlignment="1">
      <alignment vertical="center"/>
    </xf>
    <xf numFmtId="0" fontId="0" fillId="0" borderId="7" xfId="0" applyBorder="1" applyAlignment="1">
      <alignment vertical="center"/>
    </xf>
    <xf numFmtId="0" fontId="0" fillId="0" borderId="8" xfId="0" quotePrefix="1" applyBorder="1" applyAlignment="1">
      <alignment vertical="center"/>
    </xf>
    <xf numFmtId="0" fontId="0" fillId="0" borderId="8" xfId="0" applyBorder="1" applyAlignment="1">
      <alignment vertical="center"/>
    </xf>
    <xf numFmtId="0" fontId="0" fillId="0" borderId="8" xfId="0" quotePrefix="1" applyBorder="1" applyAlignment="1">
      <alignment vertical="center" wrapText="1"/>
    </xf>
    <xf numFmtId="0" fontId="0" fillId="0" borderId="9" xfId="0" applyBorder="1" applyAlignment="1">
      <alignment vertical="center"/>
    </xf>
    <xf numFmtId="0" fontId="0" fillId="0" borderId="10" xfId="0" quotePrefix="1" applyBorder="1" applyAlignment="1">
      <alignment vertical="center" wrapText="1"/>
    </xf>
    <xf numFmtId="0" fontId="0" fillId="0" borderId="11" xfId="0" quotePrefix="1" applyBorder="1" applyAlignment="1">
      <alignment vertical="center" wrapText="1"/>
    </xf>
    <xf numFmtId="0" fontId="0" fillId="0" borderId="0" xfId="0" applyAlignment="1">
      <alignment vertical="center" wrapText="1"/>
    </xf>
    <xf numFmtId="0" fontId="0" fillId="0" borderId="12" xfId="0" applyBorder="1" applyAlignment="1">
      <alignment horizontal="center"/>
    </xf>
    <xf numFmtId="0" fontId="0" fillId="0" borderId="13" xfId="0" applyBorder="1" applyAlignment="1">
      <alignment horizontal="center"/>
    </xf>
    <xf numFmtId="0" fontId="0" fillId="0" borderId="14" xfId="0" quotePrefix="1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quotePrefix="1" applyBorder="1" applyAlignment="1">
      <alignment horizontal="center"/>
    </xf>
    <xf numFmtId="0" fontId="0" fillId="0" borderId="6" xfId="0" quotePrefix="1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8" xfId="0" quotePrefix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2" xfId="0" applyBorder="1" applyAlignment="1">
      <alignment vertical="center"/>
    </xf>
    <xf numFmtId="0" fontId="0" fillId="0" borderId="13" xfId="0" quotePrefix="1" applyBorder="1" applyAlignment="1">
      <alignment vertical="center"/>
    </xf>
    <xf numFmtId="0" fontId="0" fillId="0" borderId="13" xfId="0" applyBorder="1" applyAlignment="1">
      <alignment vertical="center"/>
    </xf>
    <xf numFmtId="0" fontId="0" fillId="0" borderId="13" xfId="0" quotePrefix="1" applyBorder="1" applyAlignment="1">
      <alignment vertical="center" wrapText="1"/>
    </xf>
    <xf numFmtId="0" fontId="0" fillId="0" borderId="15" xfId="0" quotePrefix="1" applyBorder="1" applyAlignment="1">
      <alignment vertical="center" wrapText="1"/>
    </xf>
    <xf numFmtId="0" fontId="0" fillId="0" borderId="14" xfId="0" applyBorder="1" applyAlignment="1">
      <alignment vertical="center"/>
    </xf>
    <xf numFmtId="0" fontId="1" fillId="2" borderId="2" xfId="0" applyFont="1" applyFill="1" applyBorder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 vertical="center" wrapText="1"/>
    </xf>
    <xf numFmtId="0" fontId="1" fillId="2" borderId="8" xfId="0" applyFont="1" applyFill="1" applyBorder="1" applyAlignment="1">
      <alignment horizontal="center" vertical="center" wrapText="1"/>
    </xf>
    <xf numFmtId="0" fontId="1" fillId="2" borderId="9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A00BB7-3ADA-4682-B705-AB8297E54BF2}">
  <dimension ref="B1:H23"/>
  <sheetViews>
    <sheetView tabSelected="1" workbookViewId="0"/>
  </sheetViews>
  <sheetFormatPr defaultRowHeight="14.4" x14ac:dyDescent="0.3"/>
  <cols>
    <col min="1" max="1" width="2.21875" customWidth="1"/>
    <col min="2" max="2" width="11.5546875" customWidth="1"/>
    <col min="3" max="3" width="9.88671875" bestFit="1" customWidth="1"/>
    <col min="4" max="4" width="14.5546875" bestFit="1" customWidth="1"/>
    <col min="5" max="5" width="14.109375" customWidth="1"/>
    <col min="7" max="7" width="12.109375" customWidth="1"/>
  </cols>
  <sheetData>
    <row r="1" spans="2:8" ht="15" thickBot="1" x14ac:dyDescent="0.35"/>
    <row r="2" spans="2:8" x14ac:dyDescent="0.3">
      <c r="B2" s="33" t="s">
        <v>93</v>
      </c>
      <c r="C2" s="34"/>
      <c r="D2" s="34"/>
      <c r="E2" s="34"/>
      <c r="F2" s="34"/>
      <c r="G2" s="35"/>
    </row>
    <row r="3" spans="2:8" ht="58.2" thickBot="1" x14ac:dyDescent="0.35">
      <c r="B3" s="39" t="s">
        <v>66</v>
      </c>
      <c r="C3" s="40" t="s">
        <v>92</v>
      </c>
      <c r="D3" s="40" t="s">
        <v>87</v>
      </c>
      <c r="E3" s="40" t="s">
        <v>88</v>
      </c>
      <c r="F3" s="40" t="s">
        <v>90</v>
      </c>
      <c r="G3" s="41" t="s">
        <v>91</v>
      </c>
      <c r="H3" s="14"/>
    </row>
    <row r="4" spans="2:8" x14ac:dyDescent="0.3">
      <c r="B4" s="15" t="s">
        <v>67</v>
      </c>
      <c r="C4" s="16">
        <v>0</v>
      </c>
      <c r="D4" s="16">
        <v>4</v>
      </c>
      <c r="E4" s="16">
        <f>D4/2</f>
        <v>2</v>
      </c>
      <c r="F4" s="16" t="s">
        <v>89</v>
      </c>
      <c r="G4" s="17" t="s">
        <v>12</v>
      </c>
    </row>
    <row r="5" spans="2:8" x14ac:dyDescent="0.3">
      <c r="B5" s="18" t="s">
        <v>68</v>
      </c>
      <c r="C5" s="19">
        <v>1000</v>
      </c>
      <c r="D5" s="19">
        <v>5</v>
      </c>
      <c r="E5" s="19">
        <f t="shared" ref="E5:E23" si="0">D5/2</f>
        <v>2.5</v>
      </c>
      <c r="F5" s="20" t="s">
        <v>12</v>
      </c>
      <c r="G5" s="21" t="s">
        <v>12</v>
      </c>
    </row>
    <row r="6" spans="2:8" x14ac:dyDescent="0.3">
      <c r="B6" s="18" t="s">
        <v>69</v>
      </c>
      <c r="C6" s="19">
        <v>3000</v>
      </c>
      <c r="D6" s="19">
        <v>6</v>
      </c>
      <c r="E6" s="19">
        <f t="shared" si="0"/>
        <v>3</v>
      </c>
      <c r="F6" s="19" t="s">
        <v>89</v>
      </c>
      <c r="G6" s="21" t="s">
        <v>12</v>
      </c>
    </row>
    <row r="7" spans="2:8" x14ac:dyDescent="0.3">
      <c r="B7" s="18" t="s">
        <v>70</v>
      </c>
      <c r="C7" s="19">
        <v>6000</v>
      </c>
      <c r="D7" s="19">
        <v>7</v>
      </c>
      <c r="E7" s="19">
        <f t="shared" si="0"/>
        <v>3.5</v>
      </c>
      <c r="F7" s="20" t="s">
        <v>12</v>
      </c>
      <c r="G7" s="22" t="s">
        <v>89</v>
      </c>
    </row>
    <row r="8" spans="2:8" x14ac:dyDescent="0.3">
      <c r="B8" s="18" t="s">
        <v>71</v>
      </c>
      <c r="C8" s="19">
        <v>10000</v>
      </c>
      <c r="D8" s="19">
        <v>8</v>
      </c>
      <c r="E8" s="19">
        <f t="shared" si="0"/>
        <v>4</v>
      </c>
      <c r="F8" s="20" t="s">
        <v>12</v>
      </c>
      <c r="G8" s="21" t="s">
        <v>12</v>
      </c>
    </row>
    <row r="9" spans="2:8" x14ac:dyDescent="0.3">
      <c r="B9" s="18" t="s">
        <v>72</v>
      </c>
      <c r="C9" s="19">
        <v>15000</v>
      </c>
      <c r="D9" s="19">
        <v>9</v>
      </c>
      <c r="E9" s="19">
        <f t="shared" si="0"/>
        <v>4.5</v>
      </c>
      <c r="F9" s="19" t="s">
        <v>89</v>
      </c>
      <c r="G9" s="21" t="s">
        <v>12</v>
      </c>
    </row>
    <row r="10" spans="2:8" x14ac:dyDescent="0.3">
      <c r="B10" s="18" t="s">
        <v>73</v>
      </c>
      <c r="C10" s="19">
        <v>21000</v>
      </c>
      <c r="D10" s="19">
        <v>10</v>
      </c>
      <c r="E10" s="19">
        <f t="shared" si="0"/>
        <v>5</v>
      </c>
      <c r="F10" s="20" t="s">
        <v>12</v>
      </c>
      <c r="G10" s="21" t="s">
        <v>12</v>
      </c>
    </row>
    <row r="11" spans="2:8" x14ac:dyDescent="0.3">
      <c r="B11" s="18" t="s">
        <v>74</v>
      </c>
      <c r="C11" s="19">
        <v>28000</v>
      </c>
      <c r="D11" s="19">
        <v>11</v>
      </c>
      <c r="E11" s="19">
        <f t="shared" si="0"/>
        <v>5.5</v>
      </c>
      <c r="F11" s="20" t="s">
        <v>12</v>
      </c>
      <c r="G11" s="22" t="s">
        <v>89</v>
      </c>
    </row>
    <row r="12" spans="2:8" x14ac:dyDescent="0.3">
      <c r="B12" s="18" t="s">
        <v>75</v>
      </c>
      <c r="C12" s="19">
        <v>36000</v>
      </c>
      <c r="D12" s="19">
        <v>12</v>
      </c>
      <c r="E12" s="19">
        <f t="shared" si="0"/>
        <v>6</v>
      </c>
      <c r="F12" s="19" t="s">
        <v>89</v>
      </c>
      <c r="G12" s="21" t="s">
        <v>12</v>
      </c>
    </row>
    <row r="13" spans="2:8" x14ac:dyDescent="0.3">
      <c r="B13" s="18" t="s">
        <v>76</v>
      </c>
      <c r="C13" s="19">
        <v>45000</v>
      </c>
      <c r="D13" s="19">
        <v>13</v>
      </c>
      <c r="E13" s="19">
        <f t="shared" si="0"/>
        <v>6.5</v>
      </c>
      <c r="F13" s="20" t="s">
        <v>12</v>
      </c>
      <c r="G13" s="21" t="s">
        <v>12</v>
      </c>
    </row>
    <row r="14" spans="2:8" x14ac:dyDescent="0.3">
      <c r="B14" s="18" t="s">
        <v>77</v>
      </c>
      <c r="C14" s="19">
        <v>55000</v>
      </c>
      <c r="D14" s="19">
        <v>14</v>
      </c>
      <c r="E14" s="19">
        <f t="shared" si="0"/>
        <v>7</v>
      </c>
      <c r="F14" s="20" t="s">
        <v>12</v>
      </c>
      <c r="G14" s="21" t="s">
        <v>12</v>
      </c>
    </row>
    <row r="15" spans="2:8" x14ac:dyDescent="0.3">
      <c r="B15" s="18" t="s">
        <v>78</v>
      </c>
      <c r="C15" s="19">
        <v>66000</v>
      </c>
      <c r="D15" s="19">
        <v>15</v>
      </c>
      <c r="E15" s="19">
        <f t="shared" si="0"/>
        <v>7.5</v>
      </c>
      <c r="F15" s="19" t="s">
        <v>89</v>
      </c>
      <c r="G15" s="22" t="s">
        <v>89</v>
      </c>
    </row>
    <row r="16" spans="2:8" x14ac:dyDescent="0.3">
      <c r="B16" s="18" t="s">
        <v>79</v>
      </c>
      <c r="C16" s="19">
        <v>78000</v>
      </c>
      <c r="D16" s="19">
        <v>16</v>
      </c>
      <c r="E16" s="19">
        <f t="shared" si="0"/>
        <v>8</v>
      </c>
      <c r="F16" s="20" t="s">
        <v>12</v>
      </c>
      <c r="G16" s="21" t="s">
        <v>12</v>
      </c>
    </row>
    <row r="17" spans="2:7" x14ac:dyDescent="0.3">
      <c r="B17" s="18" t="s">
        <v>80</v>
      </c>
      <c r="C17" s="19">
        <v>91000</v>
      </c>
      <c r="D17" s="19">
        <v>17</v>
      </c>
      <c r="E17" s="19">
        <f t="shared" si="0"/>
        <v>8.5</v>
      </c>
      <c r="F17" s="20" t="s">
        <v>12</v>
      </c>
      <c r="G17" s="21" t="s">
        <v>12</v>
      </c>
    </row>
    <row r="18" spans="2:7" x14ac:dyDescent="0.3">
      <c r="B18" s="18" t="s">
        <v>81</v>
      </c>
      <c r="C18" s="19">
        <v>105000</v>
      </c>
      <c r="D18" s="19">
        <v>18</v>
      </c>
      <c r="E18" s="19">
        <f t="shared" si="0"/>
        <v>9</v>
      </c>
      <c r="F18" s="19" t="s">
        <v>89</v>
      </c>
      <c r="G18" s="21" t="s">
        <v>12</v>
      </c>
    </row>
    <row r="19" spans="2:7" x14ac:dyDescent="0.3">
      <c r="B19" s="18" t="s">
        <v>82</v>
      </c>
      <c r="C19" s="19">
        <v>120000</v>
      </c>
      <c r="D19" s="19">
        <v>19</v>
      </c>
      <c r="E19" s="19">
        <f t="shared" si="0"/>
        <v>9.5</v>
      </c>
      <c r="F19" s="20" t="s">
        <v>12</v>
      </c>
      <c r="G19" s="22" t="s">
        <v>89</v>
      </c>
    </row>
    <row r="20" spans="2:7" x14ac:dyDescent="0.3">
      <c r="B20" s="18" t="s">
        <v>83</v>
      </c>
      <c r="C20" s="19">
        <v>136000</v>
      </c>
      <c r="D20" s="19">
        <v>20</v>
      </c>
      <c r="E20" s="19">
        <f t="shared" si="0"/>
        <v>10</v>
      </c>
      <c r="F20" s="20" t="s">
        <v>12</v>
      </c>
      <c r="G20" s="21" t="s">
        <v>12</v>
      </c>
    </row>
    <row r="21" spans="2:7" x14ac:dyDescent="0.3">
      <c r="B21" s="18" t="s">
        <v>84</v>
      </c>
      <c r="C21" s="19">
        <v>153000</v>
      </c>
      <c r="D21" s="19">
        <v>21</v>
      </c>
      <c r="E21" s="19">
        <f t="shared" si="0"/>
        <v>10.5</v>
      </c>
      <c r="F21" s="19" t="s">
        <v>89</v>
      </c>
      <c r="G21" s="21" t="s">
        <v>12</v>
      </c>
    </row>
    <row r="22" spans="2:7" x14ac:dyDescent="0.3">
      <c r="B22" s="18" t="s">
        <v>85</v>
      </c>
      <c r="C22" s="19">
        <v>171000</v>
      </c>
      <c r="D22" s="19">
        <v>22</v>
      </c>
      <c r="E22" s="19">
        <f t="shared" si="0"/>
        <v>11</v>
      </c>
      <c r="F22" s="20" t="s">
        <v>12</v>
      </c>
      <c r="G22" s="21" t="s">
        <v>12</v>
      </c>
    </row>
    <row r="23" spans="2:7" ht="15" thickBot="1" x14ac:dyDescent="0.35">
      <c r="B23" s="23" t="s">
        <v>86</v>
      </c>
      <c r="C23" s="24">
        <v>190000</v>
      </c>
      <c r="D23" s="24">
        <v>23</v>
      </c>
      <c r="E23" s="24">
        <f t="shared" si="0"/>
        <v>11.5</v>
      </c>
      <c r="F23" s="25" t="s">
        <v>12</v>
      </c>
      <c r="G23" s="26" t="s">
        <v>89</v>
      </c>
    </row>
  </sheetData>
  <mergeCells count="1">
    <mergeCell ref="B2:G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ADDCA3-0C7F-4592-AFEB-0924F18E2DE7}">
  <dimension ref="B1:M22"/>
  <sheetViews>
    <sheetView workbookViewId="0"/>
  </sheetViews>
  <sheetFormatPr defaultRowHeight="14.4" x14ac:dyDescent="0.3"/>
  <cols>
    <col min="1" max="1" width="2.21875" customWidth="1"/>
    <col min="2" max="2" width="9.44140625" bestFit="1" customWidth="1"/>
    <col min="3" max="3" width="26.5546875" bestFit="1" customWidth="1"/>
    <col min="4" max="4" width="8.77734375" customWidth="1"/>
    <col min="5" max="5" width="12.6640625" bestFit="1" customWidth="1"/>
    <col min="6" max="6" width="14.21875" bestFit="1" customWidth="1"/>
    <col min="7" max="7" width="38.44140625" bestFit="1" customWidth="1"/>
    <col min="8" max="12" width="46.44140625" customWidth="1"/>
    <col min="13" max="13" width="27.88671875" customWidth="1"/>
  </cols>
  <sheetData>
    <row r="1" spans="2:13" ht="15" thickBot="1" x14ac:dyDescent="0.35"/>
    <row r="2" spans="2:13" x14ac:dyDescent="0.3">
      <c r="B2" s="33" t="s">
        <v>94</v>
      </c>
      <c r="C2" s="34"/>
      <c r="D2" s="34"/>
      <c r="E2" s="34"/>
      <c r="F2" s="34"/>
      <c r="G2" s="34"/>
      <c r="H2" s="34"/>
      <c r="I2" s="34"/>
      <c r="J2" s="34"/>
      <c r="K2" s="34"/>
      <c r="L2" s="34"/>
      <c r="M2" s="35"/>
    </row>
    <row r="3" spans="2:13" ht="15" thickBot="1" x14ac:dyDescent="0.35">
      <c r="B3" s="36" t="s">
        <v>1</v>
      </c>
      <c r="C3" s="37" t="s">
        <v>11</v>
      </c>
      <c r="D3" s="37" t="s">
        <v>4</v>
      </c>
      <c r="E3" s="37" t="s">
        <v>6</v>
      </c>
      <c r="F3" s="37" t="s">
        <v>2</v>
      </c>
      <c r="G3" s="37" t="s">
        <v>17</v>
      </c>
      <c r="H3" s="37" t="s">
        <v>8</v>
      </c>
      <c r="I3" s="37" t="s">
        <v>48</v>
      </c>
      <c r="J3" s="37" t="s">
        <v>62</v>
      </c>
      <c r="K3" s="37" t="s">
        <v>63</v>
      </c>
      <c r="L3" s="37" t="s">
        <v>64</v>
      </c>
      <c r="M3" s="38" t="s">
        <v>9</v>
      </c>
    </row>
    <row r="4" spans="2:13" s="1" customFormat="1" ht="28.8" x14ac:dyDescent="0.3">
      <c r="B4" s="27" t="s">
        <v>0</v>
      </c>
      <c r="C4" s="28" t="s">
        <v>12</v>
      </c>
      <c r="D4" s="29" t="s">
        <v>5</v>
      </c>
      <c r="E4" s="29" t="s">
        <v>7</v>
      </c>
      <c r="F4" s="29" t="s">
        <v>3</v>
      </c>
      <c r="G4" s="28" t="s">
        <v>18</v>
      </c>
      <c r="H4" s="30" t="s">
        <v>19</v>
      </c>
      <c r="I4" s="31"/>
      <c r="J4" s="31"/>
      <c r="K4" s="31"/>
      <c r="L4" s="31"/>
      <c r="M4" s="32" t="s">
        <v>10</v>
      </c>
    </row>
    <row r="5" spans="2:13" s="1" customFormat="1" ht="57.6" x14ac:dyDescent="0.3">
      <c r="B5" s="5" t="s">
        <v>13</v>
      </c>
      <c r="C5" s="3" t="s">
        <v>15</v>
      </c>
      <c r="D5" s="2" t="s">
        <v>5</v>
      </c>
      <c r="E5" s="2" t="s">
        <v>16</v>
      </c>
      <c r="F5" s="2" t="s">
        <v>14</v>
      </c>
      <c r="G5" s="4" t="s">
        <v>20</v>
      </c>
      <c r="H5" s="4" t="s">
        <v>37</v>
      </c>
      <c r="I5" s="12" t="s">
        <v>53</v>
      </c>
      <c r="J5" s="12" t="s">
        <v>52</v>
      </c>
      <c r="K5" s="12" t="s">
        <v>54</v>
      </c>
      <c r="L5" s="12" t="s">
        <v>45</v>
      </c>
      <c r="M5" s="6" t="s">
        <v>21</v>
      </c>
    </row>
    <row r="6" spans="2:13" s="1" customFormat="1" ht="72" x14ac:dyDescent="0.3">
      <c r="B6" s="5" t="s">
        <v>22</v>
      </c>
      <c r="C6" s="3" t="s">
        <v>23</v>
      </c>
      <c r="D6" s="2" t="s">
        <v>5</v>
      </c>
      <c r="E6" s="2" t="s">
        <v>7</v>
      </c>
      <c r="F6" s="2" t="s">
        <v>24</v>
      </c>
      <c r="G6" s="4" t="s">
        <v>25</v>
      </c>
      <c r="H6" s="4" t="s">
        <v>49</v>
      </c>
      <c r="I6" s="12" t="s">
        <v>50</v>
      </c>
      <c r="J6" s="12"/>
      <c r="K6" s="12"/>
      <c r="L6" s="12" t="s">
        <v>46</v>
      </c>
      <c r="M6" s="6" t="s">
        <v>26</v>
      </c>
    </row>
    <row r="7" spans="2:13" s="1" customFormat="1" ht="129.6" x14ac:dyDescent="0.3">
      <c r="B7" s="5" t="s">
        <v>27</v>
      </c>
      <c r="C7" s="3" t="s">
        <v>28</v>
      </c>
      <c r="D7" s="2" t="s">
        <v>29</v>
      </c>
      <c r="E7" s="2" t="s">
        <v>16</v>
      </c>
      <c r="F7" s="2" t="s">
        <v>31</v>
      </c>
      <c r="G7" s="4" t="s">
        <v>32</v>
      </c>
      <c r="H7" s="4" t="s">
        <v>56</v>
      </c>
      <c r="I7" s="12" t="s">
        <v>51</v>
      </c>
      <c r="J7" s="12" t="s">
        <v>55</v>
      </c>
      <c r="K7" s="12" t="s">
        <v>57</v>
      </c>
      <c r="L7" s="12" t="s">
        <v>47</v>
      </c>
      <c r="M7" s="6" t="s">
        <v>33</v>
      </c>
    </row>
    <row r="8" spans="2:13" s="1" customFormat="1" ht="72" x14ac:dyDescent="0.3">
      <c r="B8" s="5" t="s">
        <v>34</v>
      </c>
      <c r="C8" s="3" t="s">
        <v>12</v>
      </c>
      <c r="D8" s="2" t="s">
        <v>5</v>
      </c>
      <c r="E8" s="2" t="s">
        <v>7</v>
      </c>
      <c r="F8" s="2" t="s">
        <v>24</v>
      </c>
      <c r="G8" s="2"/>
      <c r="H8" s="4" t="s">
        <v>58</v>
      </c>
      <c r="I8" s="12" t="s">
        <v>50</v>
      </c>
      <c r="J8" s="12"/>
      <c r="K8" s="12"/>
      <c r="L8" s="12" t="s">
        <v>59</v>
      </c>
      <c r="M8" s="6" t="s">
        <v>10</v>
      </c>
    </row>
    <row r="9" spans="2:13" s="1" customFormat="1" ht="28.8" x14ac:dyDescent="0.3">
      <c r="B9" s="5" t="s">
        <v>35</v>
      </c>
      <c r="C9" s="4" t="s">
        <v>36</v>
      </c>
      <c r="D9" s="2" t="s">
        <v>5</v>
      </c>
      <c r="E9" s="2" t="s">
        <v>7</v>
      </c>
      <c r="F9" s="2" t="s">
        <v>39</v>
      </c>
      <c r="G9" s="2"/>
      <c r="H9" s="4" t="s">
        <v>38</v>
      </c>
      <c r="I9" s="12"/>
      <c r="J9" s="12"/>
      <c r="K9" s="12"/>
      <c r="L9" s="12"/>
      <c r="M9" s="6" t="s">
        <v>40</v>
      </c>
    </row>
    <row r="10" spans="2:13" s="1" customFormat="1" ht="72.599999999999994" thickBot="1" x14ac:dyDescent="0.35">
      <c r="B10" s="7" t="s">
        <v>41</v>
      </c>
      <c r="C10" s="8" t="s">
        <v>43</v>
      </c>
      <c r="D10" s="9" t="s">
        <v>29</v>
      </c>
      <c r="E10" s="9" t="s">
        <v>16</v>
      </c>
      <c r="F10" s="9" t="s">
        <v>44</v>
      </c>
      <c r="G10" s="9"/>
      <c r="H10" s="10"/>
      <c r="I10" s="13" t="s">
        <v>65</v>
      </c>
      <c r="J10" s="13" t="s">
        <v>61</v>
      </c>
      <c r="K10" s="13" t="s">
        <v>30</v>
      </c>
      <c r="L10" s="13" t="s">
        <v>60</v>
      </c>
      <c r="M10" s="11" t="s">
        <v>42</v>
      </c>
    </row>
    <row r="11" spans="2:13" s="1" customFormat="1" x14ac:dyDescent="0.3"/>
    <row r="12" spans="2:13" s="1" customFormat="1" x14ac:dyDescent="0.3"/>
    <row r="13" spans="2:13" s="1" customFormat="1" x14ac:dyDescent="0.3"/>
    <row r="14" spans="2:13" s="1" customFormat="1" x14ac:dyDescent="0.3"/>
    <row r="15" spans="2:13" s="1" customFormat="1" x14ac:dyDescent="0.3"/>
    <row r="16" spans="2:13" s="1" customFormat="1" x14ac:dyDescent="0.3"/>
    <row r="17" s="1" customFormat="1" x14ac:dyDescent="0.3"/>
    <row r="18" s="1" customFormat="1" x14ac:dyDescent="0.3"/>
    <row r="19" s="1" customFormat="1" x14ac:dyDescent="0.3"/>
    <row r="20" s="1" customFormat="1" x14ac:dyDescent="0.3"/>
    <row r="21" s="1" customFormat="1" x14ac:dyDescent="0.3"/>
    <row r="22" s="1" customFormat="1" x14ac:dyDescent="0.3"/>
  </sheetData>
  <mergeCells count="1">
    <mergeCell ref="B2:M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Habilidades e Talentos</vt:lpstr>
      <vt:lpstr>Raças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Adilson Taub Junior</dc:creator>
  <cp:lastModifiedBy>Adilson Taub Junior</cp:lastModifiedBy>
  <dcterms:created xsi:type="dcterms:W3CDTF">2026-04-20T15:31:59Z</dcterms:created>
  <dcterms:modified xsi:type="dcterms:W3CDTF">2026-04-20T16:20:16Z</dcterms:modified>
</cp:coreProperties>
</file>